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AllTheThingsSheSaid_v1\quelle\"/>
    </mc:Choice>
  </mc:AlternateContent>
  <xr:revisionPtr revIDLastSave="0" documentId="13_ncr:1_{1A04806A-11E2-435A-BB7F-CB26371B6C8F}" xr6:coauthVersionLast="47" xr6:coauthVersionMax="47" xr10:uidLastSave="{00000000-0000-0000-0000-000000000000}"/>
  <bookViews>
    <workbookView xWindow="12120" yWindow="375" windowWidth="22185" windowHeight="15345" activeTab="1" xr2:uid="{00000000-000D-0000-FFFF-FFFF00000000}"/>
  </bookViews>
  <sheets>
    <sheet name="Struktur (2)" sheetId="2" r:id="rId1"/>
    <sheet name="Struktu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</calcChain>
</file>

<file path=xl/sharedStrings.xml><?xml version="1.0" encoding="utf-8"?>
<sst xmlns="http://schemas.openxmlformats.org/spreadsheetml/2006/main" count="170" uniqueCount="70">
  <si>
    <t>BPM</t>
  </si>
  <si>
    <t>StartTakt</t>
  </si>
  <si>
    <t>StartBit</t>
  </si>
  <si>
    <t>Energie 0-5</t>
  </si>
  <si>
    <t>Effektidee</t>
  </si>
  <si>
    <t>Beschreibung</t>
  </si>
  <si>
    <t>pause</t>
  </si>
  <si>
    <t>black</t>
  </si>
  <si>
    <t>BLACK</t>
  </si>
  <si>
    <t>Midi-StartNummer</t>
  </si>
  <si>
    <t>triolen:</t>
  </si>
  <si>
    <t>Takte/min</t>
  </si>
  <si>
    <t>min/takt</t>
  </si>
  <si>
    <t>sek/takt</t>
  </si>
  <si>
    <t>ms/takt:</t>
  </si>
  <si>
    <t>ms / halbtakt</t>
  </si>
  <si>
    <t xml:space="preserve"> </t>
  </si>
  <si>
    <t>Hz</t>
  </si>
  <si>
    <t>akkum.</t>
  </si>
  <si>
    <t>Abweichung</t>
  </si>
  <si>
    <t>Songpart</t>
  </si>
  <si>
    <t>ms gerundet!!</t>
  </si>
  <si>
    <t>ms</t>
  </si>
  <si>
    <t xml:space="preserve"> (+ zu schnell)</t>
  </si>
  <si>
    <t>von takt</t>
  </si>
  <si>
    <t>bis takt</t>
  </si>
  <si>
    <t>takte</t>
  </si>
  <si>
    <t>sekunden</t>
  </si>
  <si>
    <t>millis</t>
  </si>
  <si>
    <t>millis akkum</t>
  </si>
  <si>
    <t>theoret. Exakt</t>
  </si>
  <si>
    <t>tatsächlich</t>
  </si>
  <si>
    <t>t.A.T.u.</t>
  </si>
  <si>
    <t>All The Things She Said</t>
  </si>
  <si>
    <t>intro: all thet ….</t>
  </si>
  <si>
    <t>action</t>
  </si>
  <si>
    <t>intro: this is not enough</t>
  </si>
  <si>
    <t>action stark auf viertel</t>
  </si>
  <si>
    <t>verse 1a</t>
  </si>
  <si>
    <t>sehr ruhig</t>
  </si>
  <si>
    <t>verse 1b</t>
  </si>
  <si>
    <t>etwas gesteigert</t>
  </si>
  <si>
    <t>wiederholung: nobody else</t>
  </si>
  <si>
    <t>build up</t>
  </si>
  <si>
    <t>übergang zum chorus</t>
  </si>
  <si>
    <t>strobo</t>
  </si>
  <si>
    <t>chorus 1</t>
  </si>
  <si>
    <t>this is not enough</t>
  </si>
  <si>
    <t>synth solo a</t>
  </si>
  <si>
    <t>viele farben und im takt</t>
  </si>
  <si>
    <t>synth solo b</t>
  </si>
  <si>
    <t>etwas gesteigert auf den takt</t>
  </si>
  <si>
    <t>verse 2 a</t>
  </si>
  <si>
    <t>ruhig</t>
  </si>
  <si>
    <t>verse 2 b</t>
  </si>
  <si>
    <t>verse 2 b - build up</t>
  </si>
  <si>
    <t>Mother looking at me</t>
  </si>
  <si>
    <t>daddy looking at me</t>
  </si>
  <si>
    <t>stop</t>
  </si>
  <si>
    <t>chorus 1 weiter</t>
  </si>
  <si>
    <t>strobe</t>
  </si>
  <si>
    <t>chrorus 2</t>
  </si>
  <si>
    <t>fade out</t>
  </si>
  <si>
    <t>Ende</t>
  </si>
  <si>
    <t>synth intro</t>
  </si>
  <si>
    <t>ruhig nur synths</t>
  </si>
  <si>
    <t>10 sek. BLACK</t>
  </si>
  <si>
    <t>ms-Timer startet nicht bei 0, sondern ab StartBit midi-Signal</t>
  </si>
  <si>
    <t>BPM pro Part</t>
  </si>
  <si>
    <t>langsames fade out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</si>
</sst>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vertical="top" wrapText="1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3" fontId="1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right"/>
    </xf>
    <xf numFmtId="0" fontId="8" fillId="0" borderId="0" xfId="0" applyFont="1" applyAlignment="1">
      <alignment horizontal="center"/>
    </xf>
    <xf numFmtId="0" fontId="1" fillId="0" borderId="0" xfId="0" applyFont="1"/>
    <xf numFmtId="165" fontId="3" fillId="0" borderId="0" xfId="0" applyNumberFormat="1" applyFont="1"/>
    <xf numFmtId="2" fontId="3" fillId="0" borderId="0" xfId="0" applyNumberFormat="1" applyFont="1"/>
    <xf numFmtId="1" fontId="1" fillId="0" borderId="0" xfId="0" applyNumberFormat="1" applyFont="1"/>
    <xf numFmtId="1" fontId="3" fillId="0" borderId="0" xfId="0" applyNumberFormat="1" applyFont="1"/>
    <xf numFmtId="1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ACF-9C7C-4B17-8459-D254D6678DA4}">
  <dimension ref="A1:Q89"/>
  <sheetViews>
    <sheetView workbookViewId="0">
      <pane xSplit="1" ySplit="9" topLeftCell="B10" activePane="bottomRight" state="frozen"/>
      <selection pane="topRight"/>
      <selection pane="bottomLeft"/>
      <selection pane="bottomRight" activeCell="D38" sqref="D38"/>
    </sheetView>
  </sheetViews>
  <sheetFormatPr baseColWidth="10" defaultColWidth="8.85546875" defaultRowHeight="15" x14ac:dyDescent="0.25"/>
  <cols>
    <col min="1" max="1" width="30" style="1" customWidth="1"/>
    <col min="2" max="2" width="10" style="1" customWidth="1"/>
    <col min="3" max="3" width="8" style="1" customWidth="1"/>
    <col min="4" max="4" width="12" style="1" customWidth="1"/>
    <col min="5" max="6" width="13.85546875" style="1" customWidth="1"/>
    <col min="7" max="7" width="9.28515625" style="1" customWidth="1"/>
    <col min="8" max="8" width="11.28515625" style="1" customWidth="1"/>
    <col min="9" max="15" width="8.85546875" style="1"/>
    <col min="16" max="16" width="26.7109375" style="1" customWidth="1"/>
    <col min="17" max="16384" width="8.85546875" style="1"/>
  </cols>
  <sheetData>
    <row r="1" spans="1:17" x14ac:dyDescent="0.25">
      <c r="A1" s="4" t="s">
        <v>9</v>
      </c>
      <c r="B1" s="5">
        <v>31</v>
      </c>
      <c r="C1"/>
      <c r="D1"/>
      <c r="E1"/>
      <c r="F1"/>
      <c r="G1" s="6"/>
      <c r="H1" s="6"/>
      <c r="I1"/>
      <c r="J1"/>
      <c r="K1"/>
      <c r="L1"/>
      <c r="M1"/>
      <c r="N1"/>
      <c r="O1"/>
      <c r="P1" s="6"/>
      <c r="Q1"/>
    </row>
    <row r="2" spans="1:17" x14ac:dyDescent="0.25">
      <c r="A2" s="7" t="s">
        <v>32</v>
      </c>
      <c r="B2"/>
      <c r="C2"/>
      <c r="D2"/>
      <c r="E2"/>
      <c r="F2"/>
      <c r="G2" s="6"/>
      <c r="H2" s="6"/>
      <c r="I2"/>
      <c r="J2"/>
      <c r="K2"/>
      <c r="L2"/>
      <c r="M2"/>
      <c r="N2"/>
      <c r="O2"/>
      <c r="P2" s="6"/>
      <c r="Q2"/>
    </row>
    <row r="3" spans="1:17" x14ac:dyDescent="0.25">
      <c r="A3" s="7" t="s">
        <v>33</v>
      </c>
      <c r="B3" s="7"/>
      <c r="C3" s="8"/>
      <c r="D3" s="9"/>
      <c r="E3" s="9"/>
      <c r="F3" s="10"/>
      <c r="G3" s="6"/>
      <c r="H3" s="6"/>
      <c r="I3"/>
      <c r="J3"/>
      <c r="K3"/>
      <c r="L3" t="s">
        <v>10</v>
      </c>
      <c r="M3" s="11">
        <v>635</v>
      </c>
      <c r="N3" s="11">
        <v>317.5</v>
      </c>
      <c r="O3" s="11">
        <v>158.75</v>
      </c>
      <c r="P3" s="6"/>
      <c r="Q3"/>
    </row>
    <row r="4" spans="1:17" x14ac:dyDescent="0.25">
      <c r="A4" s="12" t="s">
        <v>0</v>
      </c>
      <c r="B4" s="12"/>
      <c r="C4" s="12" t="s">
        <v>1</v>
      </c>
      <c r="D4" s="12"/>
      <c r="E4" s="12"/>
      <c r="F4" s="13"/>
      <c r="G4" s="12" t="s">
        <v>11</v>
      </c>
      <c r="H4" s="12" t="s">
        <v>12</v>
      </c>
      <c r="I4" s="12" t="s">
        <v>13</v>
      </c>
      <c r="J4" s="12" t="s">
        <v>14</v>
      </c>
      <c r="K4" s="14" t="s">
        <v>15</v>
      </c>
      <c r="L4" s="12"/>
      <c r="M4" s="12" t="s">
        <v>16</v>
      </c>
      <c r="N4" s="12" t="s">
        <v>17</v>
      </c>
      <c r="O4" s="12" t="s">
        <v>17</v>
      </c>
      <c r="P4" s="6"/>
      <c r="Q4"/>
    </row>
    <row r="5" spans="1:17" x14ac:dyDescent="0.25">
      <c r="A5" s="15">
        <v>86</v>
      </c>
      <c r="B5"/>
      <c r="C5" s="15">
        <v>3317</v>
      </c>
      <c r="D5"/>
      <c r="E5"/>
      <c r="F5" s="16" t="s">
        <v>18</v>
      </c>
      <c r="G5" s="6">
        <v>21.5</v>
      </c>
      <c r="H5" s="17">
        <v>4.6511627906976744E-2</v>
      </c>
      <c r="I5" s="18">
        <v>2.7906976744186047</v>
      </c>
      <c r="J5" s="11">
        <v>2790.6976744186049</v>
      </c>
      <c r="K5" s="11">
        <v>1395.3488372093025</v>
      </c>
      <c r="L5" s="11">
        <v>697.67441860465124</v>
      </c>
      <c r="M5" s="11">
        <v>348.83720930232562</v>
      </c>
      <c r="N5" s="18">
        <v>0.35833333333333334</v>
      </c>
      <c r="O5" s="18">
        <v>0.71666666666666667</v>
      </c>
      <c r="P5" s="6"/>
      <c r="Q5"/>
    </row>
    <row r="6" spans="1:17" x14ac:dyDescent="0.25">
      <c r="A6"/>
      <c r="B6" s="19" t="s">
        <v>2</v>
      </c>
      <c r="C6" s="15">
        <v>0.375</v>
      </c>
      <c r="D6"/>
      <c r="E6"/>
      <c r="F6" s="16" t="s">
        <v>19</v>
      </c>
      <c r="G6" s="6"/>
      <c r="H6" s="6"/>
      <c r="I6" s="20">
        <v>3317.375</v>
      </c>
      <c r="J6">
        <v>1905</v>
      </c>
      <c r="K6" s="21">
        <v>1395.3488372093025</v>
      </c>
      <c r="L6" s="21">
        <v>697.67441860465124</v>
      </c>
      <c r="M6" s="21">
        <v>348.83720930232562</v>
      </c>
      <c r="N6" s="11">
        <v>174.41860465116281</v>
      </c>
      <c r="O6" s="11">
        <v>87.209302325581405</v>
      </c>
      <c r="P6" s="6"/>
      <c r="Q6"/>
    </row>
    <row r="7" spans="1:17" x14ac:dyDescent="0.25">
      <c r="A7" s="13" t="s">
        <v>20</v>
      </c>
      <c r="B7" s="13" t="s">
        <v>21</v>
      </c>
      <c r="C7" s="33" t="s">
        <v>4</v>
      </c>
      <c r="D7" s="12" t="s">
        <v>22</v>
      </c>
      <c r="E7" s="34" t="s">
        <v>3</v>
      </c>
      <c r="F7" s="16" t="s">
        <v>23</v>
      </c>
      <c r="G7" s="12" t="s">
        <v>0</v>
      </c>
      <c r="H7" s="22" t="s">
        <v>24</v>
      </c>
      <c r="I7" s="22" t="s">
        <v>25</v>
      </c>
      <c r="J7" s="22" t="s">
        <v>26</v>
      </c>
      <c r="K7" s="12" t="s">
        <v>13</v>
      </c>
      <c r="L7" s="22" t="s">
        <v>27</v>
      </c>
      <c r="M7" s="22" t="s">
        <v>28</v>
      </c>
      <c r="N7" s="14" t="s">
        <v>29</v>
      </c>
      <c r="O7" s="14" t="s">
        <v>29</v>
      </c>
      <c r="P7" s="33" t="s">
        <v>5</v>
      </c>
      <c r="Q7"/>
    </row>
    <row r="8" spans="1:17" x14ac:dyDescent="0.25">
      <c r="A8"/>
      <c r="B8" s="20"/>
      <c r="C8"/>
      <c r="D8"/>
      <c r="E8"/>
      <c r="F8"/>
      <c r="G8" s="23"/>
      <c r="H8" s="20"/>
      <c r="I8" s="24"/>
      <c r="J8" s="20"/>
      <c r="K8" s="25"/>
      <c r="L8" s="26"/>
      <c r="M8"/>
      <c r="N8" t="s">
        <v>30</v>
      </c>
      <c r="O8" t="s">
        <v>31</v>
      </c>
      <c r="P8" s="6"/>
      <c r="Q8"/>
    </row>
    <row r="9" spans="1:17" x14ac:dyDescent="0.25">
      <c r="A9" t="s">
        <v>6</v>
      </c>
      <c r="B9" s="27">
        <v>1744.1860465116279</v>
      </c>
      <c r="C9" t="s">
        <v>7</v>
      </c>
      <c r="D9" s="28">
        <v>1744.1860465116279</v>
      </c>
      <c r="E9" s="6">
        <v>0</v>
      </c>
      <c r="F9" s="29">
        <v>0</v>
      </c>
      <c r="G9" s="30">
        <v>86</v>
      </c>
      <c r="H9" s="31">
        <v>3317.375</v>
      </c>
      <c r="I9" s="24">
        <v>3318</v>
      </c>
      <c r="J9" s="20">
        <v>0.625</v>
      </c>
      <c r="K9" s="25">
        <v>2.7906976744186047</v>
      </c>
      <c r="L9" s="26">
        <v>1.7441860465116279</v>
      </c>
      <c r="M9" s="28">
        <v>1744.1860465116279</v>
      </c>
      <c r="N9" s="32">
        <v>1744.1860465116279</v>
      </c>
      <c r="O9" s="32">
        <v>1744.1860465116279</v>
      </c>
      <c r="P9"/>
      <c r="Q9"/>
    </row>
    <row r="10" spans="1:17" x14ac:dyDescent="0.25">
      <c r="A10" t="s">
        <v>64</v>
      </c>
      <c r="B10" s="27">
        <v>11162.79069767442</v>
      </c>
      <c r="C10" t="s">
        <v>65</v>
      </c>
      <c r="D10" s="28">
        <v>11162.79069767442</v>
      </c>
      <c r="E10" s="6">
        <v>1</v>
      </c>
      <c r="F10" s="29">
        <v>0</v>
      </c>
      <c r="G10" s="30">
        <v>86</v>
      </c>
      <c r="H10">
        <v>3318</v>
      </c>
      <c r="I10" s="24">
        <v>3322</v>
      </c>
      <c r="J10" s="20">
        <v>4</v>
      </c>
      <c r="K10" s="25">
        <v>2.7906976744186047</v>
      </c>
      <c r="L10" s="26">
        <v>11.162790697674419</v>
      </c>
      <c r="M10" s="28">
        <v>11162.79069767442</v>
      </c>
      <c r="N10" s="32">
        <v>11162.79069767442</v>
      </c>
      <c r="O10" s="32">
        <v>11162.79069767442</v>
      </c>
      <c r="P10"/>
      <c r="Q10"/>
    </row>
    <row r="11" spans="1:17" x14ac:dyDescent="0.25">
      <c r="A11" t="s">
        <v>34</v>
      </c>
      <c r="B11" s="27">
        <v>11162.79069767442</v>
      </c>
      <c r="C11" t="s">
        <v>35</v>
      </c>
      <c r="D11" s="28">
        <v>11162.79069767442</v>
      </c>
      <c r="E11" s="6">
        <v>4</v>
      </c>
      <c r="F11" s="29">
        <v>0</v>
      </c>
      <c r="G11" s="30">
        <v>86</v>
      </c>
      <c r="H11">
        <v>3322</v>
      </c>
      <c r="I11" s="24">
        <v>3326</v>
      </c>
      <c r="J11" s="20">
        <v>4</v>
      </c>
      <c r="K11" s="25">
        <v>2.7906976744186047</v>
      </c>
      <c r="L11" s="26">
        <v>11.162790697674419</v>
      </c>
      <c r="M11" s="28">
        <v>11162.79069767442</v>
      </c>
      <c r="N11" s="32">
        <v>12906.976744186048</v>
      </c>
      <c r="O11" s="32">
        <v>12906.976744186048</v>
      </c>
      <c r="P11"/>
      <c r="Q11"/>
    </row>
    <row r="12" spans="1:17" x14ac:dyDescent="0.25">
      <c r="A12" s="20" t="s">
        <v>36</v>
      </c>
      <c r="B12" s="27">
        <v>11162.79069767442</v>
      </c>
      <c r="C12" t="s">
        <v>37</v>
      </c>
      <c r="D12" s="28">
        <v>11162.79069767442</v>
      </c>
      <c r="E12" s="6">
        <v>5</v>
      </c>
      <c r="F12" s="29">
        <v>0</v>
      </c>
      <c r="G12" s="30">
        <v>86</v>
      </c>
      <c r="H12">
        <v>3326</v>
      </c>
      <c r="I12" s="24">
        <v>3330</v>
      </c>
      <c r="J12" s="20">
        <v>4</v>
      </c>
      <c r="K12" s="25">
        <v>2.7906976744186047</v>
      </c>
      <c r="L12" s="26">
        <v>11.162790697674419</v>
      </c>
      <c r="M12" s="28">
        <v>11162.79069767442</v>
      </c>
      <c r="N12" s="32">
        <v>24069.767441860466</v>
      </c>
      <c r="O12" s="32">
        <v>24069.767441860466</v>
      </c>
      <c r="P12"/>
      <c r="Q12"/>
    </row>
    <row r="13" spans="1:17" x14ac:dyDescent="0.25">
      <c r="A13" s="20" t="s">
        <v>38</v>
      </c>
      <c r="B13" s="27">
        <v>11162.79069767442</v>
      </c>
      <c r="C13" t="s">
        <v>39</v>
      </c>
      <c r="D13" s="28">
        <v>11162.79069767442</v>
      </c>
      <c r="E13" s="6">
        <v>1</v>
      </c>
      <c r="F13" s="29">
        <v>0</v>
      </c>
      <c r="G13" s="30">
        <v>86</v>
      </c>
      <c r="H13">
        <v>3330</v>
      </c>
      <c r="I13" s="24">
        <v>3334</v>
      </c>
      <c r="J13" s="20">
        <v>4</v>
      </c>
      <c r="K13" s="25">
        <v>2.7906976744186047</v>
      </c>
      <c r="L13" s="26">
        <v>11.162790697674419</v>
      </c>
      <c r="M13" s="28">
        <v>11162.79069767442</v>
      </c>
      <c r="N13" s="32">
        <v>35232.558139534885</v>
      </c>
      <c r="O13" s="32">
        <v>35232.558139534885</v>
      </c>
      <c r="P13"/>
      <c r="Q13"/>
    </row>
    <row r="14" spans="1:17" x14ac:dyDescent="0.25">
      <c r="A14" s="20" t="s">
        <v>40</v>
      </c>
      <c r="B14" s="27">
        <v>11162.79069767442</v>
      </c>
      <c r="C14" t="s">
        <v>41</v>
      </c>
      <c r="D14" s="28">
        <v>11162.79069767442</v>
      </c>
      <c r="E14" s="6">
        <v>2</v>
      </c>
      <c r="F14" s="29">
        <v>0</v>
      </c>
      <c r="G14" s="30">
        <v>86</v>
      </c>
      <c r="H14">
        <v>3334</v>
      </c>
      <c r="I14" s="24">
        <v>3338</v>
      </c>
      <c r="J14" s="20">
        <v>4</v>
      </c>
      <c r="K14" s="25">
        <v>2.7906976744186047</v>
      </c>
      <c r="L14" s="26">
        <v>11.162790697674419</v>
      </c>
      <c r="M14" s="28">
        <v>11162.79069767442</v>
      </c>
      <c r="N14" s="32">
        <v>46395.348837209305</v>
      </c>
      <c r="O14" s="32">
        <v>46395.348837209305</v>
      </c>
      <c r="P14"/>
      <c r="Q14"/>
    </row>
    <row r="15" spans="1:17" x14ac:dyDescent="0.25">
      <c r="A15" s="20" t="s">
        <v>42</v>
      </c>
      <c r="B15" s="27">
        <v>2093.0232558139537</v>
      </c>
      <c r="C15" t="s">
        <v>43</v>
      </c>
      <c r="D15" s="28">
        <v>2093.0232558139537</v>
      </c>
      <c r="E15" s="6">
        <v>3</v>
      </c>
      <c r="F15" s="29">
        <v>0</v>
      </c>
      <c r="G15" s="30">
        <v>86</v>
      </c>
      <c r="H15">
        <v>3338</v>
      </c>
      <c r="I15" s="24">
        <v>3338.75</v>
      </c>
      <c r="J15" s="20">
        <v>0.75</v>
      </c>
      <c r="K15" s="25">
        <v>2.7906976744186047</v>
      </c>
      <c r="L15" s="26">
        <v>2.0930232558139537</v>
      </c>
      <c r="M15" s="28">
        <v>2093.0232558139537</v>
      </c>
      <c r="N15" s="32">
        <v>48488.372093023259</v>
      </c>
      <c r="O15" s="32">
        <v>48488.372093023259</v>
      </c>
      <c r="P15"/>
      <c r="Q15"/>
    </row>
    <row r="16" spans="1:17" x14ac:dyDescent="0.25">
      <c r="A16" s="20" t="s">
        <v>44</v>
      </c>
      <c r="B16" s="27">
        <v>697.67441860465124</v>
      </c>
      <c r="C16" t="s">
        <v>45</v>
      </c>
      <c r="D16" s="28">
        <v>697.67441860465124</v>
      </c>
      <c r="E16" s="6">
        <v>5</v>
      </c>
      <c r="F16" s="29">
        <v>0</v>
      </c>
      <c r="G16" s="30">
        <v>86</v>
      </c>
      <c r="H16">
        <v>3338.75</v>
      </c>
      <c r="I16" s="24">
        <v>3339</v>
      </c>
      <c r="J16" s="20">
        <v>0.25</v>
      </c>
      <c r="K16" s="25">
        <v>2.7906976744186047</v>
      </c>
      <c r="L16" s="26">
        <v>0.69767441860465118</v>
      </c>
      <c r="M16" s="28">
        <v>697.67441860465124</v>
      </c>
      <c r="N16" s="32">
        <v>49186.046511627908</v>
      </c>
      <c r="O16" s="32">
        <v>49186.046511627908</v>
      </c>
      <c r="P16"/>
      <c r="Q16"/>
    </row>
    <row r="17" spans="1:17" x14ac:dyDescent="0.25">
      <c r="A17" s="20" t="s">
        <v>46</v>
      </c>
      <c r="B17" s="27">
        <v>11162.79069767442</v>
      </c>
      <c r="C17" t="s">
        <v>35</v>
      </c>
      <c r="D17" s="28">
        <v>11162.79069767442</v>
      </c>
      <c r="E17" s="6">
        <v>4</v>
      </c>
      <c r="F17" s="29">
        <v>0</v>
      </c>
      <c r="G17" s="30">
        <v>86</v>
      </c>
      <c r="H17">
        <v>3339</v>
      </c>
      <c r="I17" s="24">
        <v>3343</v>
      </c>
      <c r="J17" s="20">
        <v>4</v>
      </c>
      <c r="K17" s="25">
        <v>2.7906976744186047</v>
      </c>
      <c r="L17" s="26">
        <v>11.162790697674419</v>
      </c>
      <c r="M17" s="28">
        <v>11162.79069767442</v>
      </c>
      <c r="N17" s="32">
        <v>59651.162790697679</v>
      </c>
      <c r="O17" s="32">
        <v>59651.162790697679</v>
      </c>
      <c r="P17"/>
      <c r="Q17"/>
    </row>
    <row r="18" spans="1:17" x14ac:dyDescent="0.25">
      <c r="A18" s="20" t="s">
        <v>47</v>
      </c>
      <c r="B18" s="27">
        <v>11162.79069767442</v>
      </c>
      <c r="C18" t="s">
        <v>37</v>
      </c>
      <c r="D18" s="28">
        <v>11162.79069767442</v>
      </c>
      <c r="E18" s="6">
        <v>5</v>
      </c>
      <c r="F18" s="29">
        <v>0</v>
      </c>
      <c r="G18" s="30">
        <v>86</v>
      </c>
      <c r="H18">
        <v>3343</v>
      </c>
      <c r="I18" s="24">
        <v>3347</v>
      </c>
      <c r="J18" s="20">
        <v>4</v>
      </c>
      <c r="K18" s="25">
        <v>2.7906976744186047</v>
      </c>
      <c r="L18" s="26">
        <v>11.162790697674419</v>
      </c>
      <c r="M18" s="28">
        <v>11162.79069767442</v>
      </c>
      <c r="N18" s="32">
        <v>60348.837209302328</v>
      </c>
      <c r="O18" s="32">
        <v>60348.837209302328</v>
      </c>
      <c r="P18"/>
      <c r="Q18"/>
    </row>
    <row r="19" spans="1:17" x14ac:dyDescent="0.25">
      <c r="A19" s="20" t="s">
        <v>48</v>
      </c>
      <c r="B19" s="27">
        <v>11162.79069767442</v>
      </c>
      <c r="C19" t="s">
        <v>49</v>
      </c>
      <c r="D19" s="28">
        <v>11162.79069767442</v>
      </c>
      <c r="E19" s="6">
        <v>4</v>
      </c>
      <c r="F19" s="29">
        <v>0</v>
      </c>
      <c r="G19" s="30">
        <v>86</v>
      </c>
      <c r="H19">
        <v>3347</v>
      </c>
      <c r="I19" s="24">
        <v>3351</v>
      </c>
      <c r="J19" s="20">
        <v>4</v>
      </c>
      <c r="K19" s="25">
        <v>2.7906976744186047</v>
      </c>
      <c r="L19" s="26">
        <v>11.162790697674419</v>
      </c>
      <c r="M19" s="28">
        <v>11162.79069767442</v>
      </c>
      <c r="N19" s="32">
        <v>70813.953488372092</v>
      </c>
      <c r="O19" s="32">
        <v>70813.953488372092</v>
      </c>
      <c r="P19"/>
      <c r="Q19"/>
    </row>
    <row r="20" spans="1:17" x14ac:dyDescent="0.25">
      <c r="A20" s="20" t="s">
        <v>50</v>
      </c>
      <c r="B20" s="27">
        <v>11162.79069767442</v>
      </c>
      <c r="C20" t="s">
        <v>51</v>
      </c>
      <c r="D20" s="28">
        <v>11162.79069767442</v>
      </c>
      <c r="E20" s="6">
        <v>4</v>
      </c>
      <c r="F20" s="29">
        <v>0</v>
      </c>
      <c r="G20" s="30">
        <v>86</v>
      </c>
      <c r="H20">
        <v>3351</v>
      </c>
      <c r="I20" s="24">
        <v>3355</v>
      </c>
      <c r="J20" s="20">
        <v>4</v>
      </c>
      <c r="K20" s="25">
        <v>2.7906976744186047</v>
      </c>
      <c r="L20" s="26">
        <v>11.162790697674419</v>
      </c>
      <c r="M20" s="28">
        <v>11162.79069767442</v>
      </c>
      <c r="N20" s="32">
        <v>71511.627906976748</v>
      </c>
      <c r="O20" s="32">
        <v>71511.627906976748</v>
      </c>
      <c r="P20"/>
      <c r="Q20"/>
    </row>
    <row r="21" spans="1:17" x14ac:dyDescent="0.25">
      <c r="A21" s="20" t="s">
        <v>52</v>
      </c>
      <c r="B21" s="27">
        <v>11162.79069767442</v>
      </c>
      <c r="C21" t="s">
        <v>53</v>
      </c>
      <c r="D21" s="28">
        <v>11162.79069767442</v>
      </c>
      <c r="E21" s="6">
        <v>2</v>
      </c>
      <c r="F21" s="29">
        <v>0</v>
      </c>
      <c r="G21" s="30">
        <v>86</v>
      </c>
      <c r="H21">
        <v>3355</v>
      </c>
      <c r="I21" s="24">
        <v>3359</v>
      </c>
      <c r="J21" s="20">
        <v>4</v>
      </c>
      <c r="K21" s="25">
        <v>2.7906976744186047</v>
      </c>
      <c r="L21" s="26">
        <v>11.162790697674419</v>
      </c>
      <c r="M21" s="28">
        <v>11162.79069767442</v>
      </c>
      <c r="N21" s="32">
        <v>81976.744186046504</v>
      </c>
      <c r="O21" s="32">
        <v>81976.744186046504</v>
      </c>
      <c r="P21"/>
      <c r="Q21"/>
    </row>
    <row r="22" spans="1:17" x14ac:dyDescent="0.25">
      <c r="A22" s="20" t="s">
        <v>54</v>
      </c>
      <c r="B22" s="27">
        <v>5581.3953488372099</v>
      </c>
      <c r="C22" t="s">
        <v>41</v>
      </c>
      <c r="D22" s="28">
        <v>5581.3953488372099</v>
      </c>
      <c r="E22" s="6">
        <v>3</v>
      </c>
      <c r="F22" s="29">
        <v>0</v>
      </c>
      <c r="G22" s="30">
        <v>86</v>
      </c>
      <c r="H22">
        <v>3359</v>
      </c>
      <c r="I22" s="24">
        <v>3361</v>
      </c>
      <c r="J22" s="20">
        <v>2</v>
      </c>
      <c r="K22" s="25">
        <v>2.7906976744186047</v>
      </c>
      <c r="L22" s="26">
        <v>5.5813953488372094</v>
      </c>
      <c r="M22" s="28">
        <v>5581.3953488372099</v>
      </c>
      <c r="N22" s="32">
        <v>77093.023255813954</v>
      </c>
      <c r="O22" s="32">
        <v>77093.023255813954</v>
      </c>
      <c r="P22"/>
      <c r="Q22"/>
    </row>
    <row r="23" spans="1:17" x14ac:dyDescent="0.25">
      <c r="A23" s="20" t="s">
        <v>55</v>
      </c>
      <c r="B23" s="27">
        <v>4186.0465116279074</v>
      </c>
      <c r="C23" t="s">
        <v>43</v>
      </c>
      <c r="D23" s="28">
        <v>4186.0465116279074</v>
      </c>
      <c r="E23" s="6">
        <v>4</v>
      </c>
      <c r="F23" s="29">
        <v>0</v>
      </c>
      <c r="G23" s="30">
        <v>86</v>
      </c>
      <c r="H23">
        <v>3361</v>
      </c>
      <c r="I23" s="24">
        <v>3362.5</v>
      </c>
      <c r="J23" s="20">
        <v>1.5</v>
      </c>
      <c r="K23" s="25">
        <v>2.7906976744186047</v>
      </c>
      <c r="L23" s="26">
        <v>4.1860465116279073</v>
      </c>
      <c r="M23" s="28">
        <v>4186.0465116279074</v>
      </c>
      <c r="N23" s="32">
        <v>86162.790697674413</v>
      </c>
      <c r="O23" s="32">
        <v>86162.790697674413</v>
      </c>
      <c r="P23"/>
      <c r="Q23"/>
    </row>
    <row r="24" spans="1:17" x14ac:dyDescent="0.25">
      <c r="A24" s="20" t="s">
        <v>44</v>
      </c>
      <c r="B24" s="27">
        <v>1395.3488372093025</v>
      </c>
      <c r="C24" t="s">
        <v>45</v>
      </c>
      <c r="D24" s="28">
        <v>1395.3488372093025</v>
      </c>
      <c r="E24" s="6">
        <v>5</v>
      </c>
      <c r="F24" s="29">
        <v>0</v>
      </c>
      <c r="G24" s="30">
        <v>86</v>
      </c>
      <c r="H24">
        <v>3362.5</v>
      </c>
      <c r="I24" s="24">
        <v>3363</v>
      </c>
      <c r="J24" s="20">
        <v>0.5</v>
      </c>
      <c r="K24" s="25">
        <v>2.7906976744186047</v>
      </c>
      <c r="L24" s="26">
        <v>1.3953488372093024</v>
      </c>
      <c r="M24" s="28">
        <v>1395.3488372093025</v>
      </c>
      <c r="N24" s="32">
        <v>78488.372093023252</v>
      </c>
      <c r="O24" s="32">
        <v>78488.372093023252</v>
      </c>
      <c r="P24"/>
      <c r="Q24"/>
    </row>
    <row r="25" spans="1:17" x14ac:dyDescent="0.25">
      <c r="A25" s="20" t="s">
        <v>46</v>
      </c>
      <c r="B25" s="27">
        <v>11162.79069767442</v>
      </c>
      <c r="C25" t="s">
        <v>35</v>
      </c>
      <c r="D25" s="28">
        <v>11162.79069767442</v>
      </c>
      <c r="E25" s="6">
        <v>4</v>
      </c>
      <c r="F25" s="29">
        <v>0</v>
      </c>
      <c r="G25" s="30">
        <v>86</v>
      </c>
      <c r="H25">
        <v>3363</v>
      </c>
      <c r="I25" s="24">
        <v>3367</v>
      </c>
      <c r="J25" s="20">
        <v>4</v>
      </c>
      <c r="K25" s="25">
        <v>2.7906976744186047</v>
      </c>
      <c r="L25" s="26">
        <v>11.162790697674419</v>
      </c>
      <c r="M25" s="28">
        <v>11162.79069767442</v>
      </c>
      <c r="N25" s="32">
        <v>97325.581395348825</v>
      </c>
      <c r="O25" s="32">
        <v>97325.581395348825</v>
      </c>
      <c r="P25"/>
      <c r="Q25"/>
    </row>
    <row r="26" spans="1:17" x14ac:dyDescent="0.25">
      <c r="A26" s="20" t="s">
        <v>47</v>
      </c>
      <c r="B26" s="27">
        <v>11162.79069767442</v>
      </c>
      <c r="C26" t="s">
        <v>37</v>
      </c>
      <c r="D26" s="28">
        <v>11162.79069767442</v>
      </c>
      <c r="E26" s="6">
        <v>5</v>
      </c>
      <c r="F26" s="29">
        <v>0</v>
      </c>
      <c r="G26" s="30">
        <v>86</v>
      </c>
      <c r="H26">
        <v>3367</v>
      </c>
      <c r="I26" s="24">
        <v>3371</v>
      </c>
      <c r="J26" s="20">
        <v>4</v>
      </c>
      <c r="K26" s="25">
        <v>2.7906976744186047</v>
      </c>
      <c r="L26" s="26">
        <v>11.162790697674419</v>
      </c>
      <c r="M26" s="28">
        <v>11162.79069767442</v>
      </c>
      <c r="N26" s="32">
        <v>89651.162790697679</v>
      </c>
      <c r="O26" s="32">
        <v>89651.162790697679</v>
      </c>
      <c r="P26"/>
      <c r="Q26"/>
    </row>
    <row r="27" spans="1:17" x14ac:dyDescent="0.25">
      <c r="A27" s="20" t="s">
        <v>56</v>
      </c>
      <c r="B27" s="27">
        <v>11162.79069767442</v>
      </c>
      <c r="C27" t="s">
        <v>39</v>
      </c>
      <c r="D27" s="28">
        <v>11162.79069767442</v>
      </c>
      <c r="E27" s="6">
        <v>1</v>
      </c>
      <c r="F27" s="29">
        <v>0</v>
      </c>
      <c r="G27" s="30">
        <v>86</v>
      </c>
      <c r="H27">
        <v>3371</v>
      </c>
      <c r="I27" s="24">
        <v>3375</v>
      </c>
      <c r="J27" s="20">
        <v>4</v>
      </c>
      <c r="K27" s="25">
        <v>2.7906976744186047</v>
      </c>
      <c r="L27" s="26">
        <v>11.162790697674419</v>
      </c>
      <c r="M27" s="28">
        <v>11162.79069767442</v>
      </c>
      <c r="N27" s="32">
        <v>108488.37209302324</v>
      </c>
      <c r="O27" s="32">
        <v>108488.37209302324</v>
      </c>
      <c r="P27" s="6"/>
      <c r="Q27"/>
    </row>
    <row r="28" spans="1:17" x14ac:dyDescent="0.25">
      <c r="A28" s="20" t="s">
        <v>57</v>
      </c>
      <c r="B28" s="27">
        <v>5581.3953488372099</v>
      </c>
      <c r="C28" t="s">
        <v>41</v>
      </c>
      <c r="D28" s="28">
        <v>5581.3953488372099</v>
      </c>
      <c r="E28" s="6">
        <v>2</v>
      </c>
      <c r="F28" s="29">
        <v>0</v>
      </c>
      <c r="G28" s="30">
        <v>86</v>
      </c>
      <c r="H28">
        <v>3375</v>
      </c>
      <c r="I28" s="24">
        <v>3377</v>
      </c>
      <c r="J28" s="20">
        <v>2</v>
      </c>
      <c r="K28" s="25">
        <v>2.7906976744186047</v>
      </c>
      <c r="L28" s="26">
        <v>5.5813953488372094</v>
      </c>
      <c r="M28" s="28">
        <v>5581.3953488372099</v>
      </c>
      <c r="N28" s="32">
        <v>95232.558139534885</v>
      </c>
      <c r="O28" s="32">
        <v>95232.558139534885</v>
      </c>
      <c r="P28" s="6"/>
      <c r="Q28"/>
    </row>
    <row r="29" spans="1:17" x14ac:dyDescent="0.25">
      <c r="A29" s="20" t="s">
        <v>43</v>
      </c>
      <c r="B29" s="27">
        <v>4186.0465116279074</v>
      </c>
      <c r="C29" t="s">
        <v>43</v>
      </c>
      <c r="D29" s="28">
        <v>4186.0465116279074</v>
      </c>
      <c r="E29" s="6">
        <v>3</v>
      </c>
      <c r="F29" s="29">
        <v>0</v>
      </c>
      <c r="G29" s="30">
        <v>86</v>
      </c>
      <c r="H29">
        <v>3377</v>
      </c>
      <c r="I29" s="24">
        <v>3378.5</v>
      </c>
      <c r="J29" s="20">
        <v>1.5</v>
      </c>
      <c r="K29" s="25">
        <v>2.7906976744186047</v>
      </c>
      <c r="L29" s="26">
        <v>4.1860465116279073</v>
      </c>
      <c r="M29" s="28">
        <v>4186.0465116279074</v>
      </c>
      <c r="N29" s="32">
        <v>112674.41860465115</v>
      </c>
      <c r="O29" s="32">
        <v>112674.41860465115</v>
      </c>
      <c r="P29" s="6"/>
      <c r="Q29"/>
    </row>
    <row r="30" spans="1:17" x14ac:dyDescent="0.25">
      <c r="A30" s="20" t="s">
        <v>44</v>
      </c>
      <c r="B30" s="27">
        <v>1395.3488372093025</v>
      </c>
      <c r="C30" t="s">
        <v>45</v>
      </c>
      <c r="D30" s="28">
        <v>1395.3488372093025</v>
      </c>
      <c r="E30" s="6">
        <v>5</v>
      </c>
      <c r="F30" s="29">
        <v>0</v>
      </c>
      <c r="G30" s="30">
        <v>86</v>
      </c>
      <c r="H30">
        <v>3378.5</v>
      </c>
      <c r="I30" s="24">
        <v>3379</v>
      </c>
      <c r="J30" s="20">
        <v>0.5</v>
      </c>
      <c r="K30" s="25">
        <v>2.7906976744186047</v>
      </c>
      <c r="L30" s="26">
        <v>1.3953488372093024</v>
      </c>
      <c r="M30" s="28">
        <v>1395.3488372093025</v>
      </c>
      <c r="N30" s="32">
        <v>96627.906976744183</v>
      </c>
      <c r="O30" s="32">
        <v>96627.906976744183</v>
      </c>
      <c r="P30" s="6"/>
      <c r="Q30"/>
    </row>
    <row r="31" spans="1:17" x14ac:dyDescent="0.25">
      <c r="A31" s="20" t="s">
        <v>46</v>
      </c>
      <c r="B31" s="27">
        <v>1395.3488372093025</v>
      </c>
      <c r="C31" t="s">
        <v>35</v>
      </c>
      <c r="D31" s="28">
        <v>1395.3488372093025</v>
      </c>
      <c r="E31" s="6">
        <v>4</v>
      </c>
      <c r="F31" s="29">
        <v>0</v>
      </c>
      <c r="G31" s="30">
        <v>86</v>
      </c>
      <c r="H31">
        <v>3379</v>
      </c>
      <c r="I31" s="24">
        <v>3379.5</v>
      </c>
      <c r="J31" s="20">
        <v>0.5</v>
      </c>
      <c r="K31" s="25">
        <v>2.7906976744186047</v>
      </c>
      <c r="L31" s="26">
        <v>1.3953488372093024</v>
      </c>
      <c r="M31" s="28">
        <v>1395.3488372093025</v>
      </c>
      <c r="N31" s="32">
        <v>114069.76744186044</v>
      </c>
      <c r="O31" s="32">
        <v>114069.76744186044</v>
      </c>
      <c r="P31" s="6"/>
      <c r="Q31"/>
    </row>
    <row r="32" spans="1:17" x14ac:dyDescent="0.25">
      <c r="A32" s="20" t="s">
        <v>58</v>
      </c>
      <c r="B32" s="27">
        <v>1395.3488372093025</v>
      </c>
      <c r="C32" t="s">
        <v>8</v>
      </c>
      <c r="D32" s="28">
        <v>1395.3488372093025</v>
      </c>
      <c r="E32" s="6">
        <v>0</v>
      </c>
      <c r="F32" s="29">
        <v>0</v>
      </c>
      <c r="G32" s="30">
        <v>86</v>
      </c>
      <c r="H32">
        <v>3379.5</v>
      </c>
      <c r="I32" s="24">
        <v>3380</v>
      </c>
      <c r="J32" s="20">
        <v>0.5</v>
      </c>
      <c r="K32" s="25">
        <v>2.7906976744186047</v>
      </c>
      <c r="L32" s="26">
        <v>1.3953488372093024</v>
      </c>
      <c r="M32" s="28">
        <v>1395.3488372093025</v>
      </c>
      <c r="N32" s="32">
        <v>98023.255813953481</v>
      </c>
      <c r="O32" s="32">
        <v>98023.255813953481</v>
      </c>
      <c r="P32" s="6"/>
      <c r="Q32"/>
    </row>
    <row r="33" spans="1:17" x14ac:dyDescent="0.25">
      <c r="A33" s="20" t="s">
        <v>59</v>
      </c>
      <c r="B33" s="27">
        <v>8372.0930232558148</v>
      </c>
      <c r="C33" t="s">
        <v>35</v>
      </c>
      <c r="D33" s="28">
        <v>8372.0930232558148</v>
      </c>
      <c r="E33" s="6">
        <v>4</v>
      </c>
      <c r="F33" s="29">
        <v>0</v>
      </c>
      <c r="G33" s="30">
        <v>86</v>
      </c>
      <c r="H33">
        <v>3380</v>
      </c>
      <c r="I33" s="24">
        <v>3383</v>
      </c>
      <c r="J33" s="20">
        <v>3</v>
      </c>
      <c r="K33" s="25">
        <v>2.7906976744186047</v>
      </c>
      <c r="L33" s="26">
        <v>8.3720930232558146</v>
      </c>
      <c r="M33" s="28">
        <v>8372.0930232558148</v>
      </c>
      <c r="N33" s="32">
        <v>122441.86046511626</v>
      </c>
      <c r="O33" s="32">
        <v>122441.86046511626</v>
      </c>
      <c r="P33" s="6"/>
      <c r="Q33"/>
    </row>
    <row r="34" spans="1:17" x14ac:dyDescent="0.25">
      <c r="A34" s="20" t="s">
        <v>47</v>
      </c>
      <c r="B34" s="27">
        <v>9767.4418604651164</v>
      </c>
      <c r="C34" t="s">
        <v>37</v>
      </c>
      <c r="D34" s="28">
        <v>9767.4418604651164</v>
      </c>
      <c r="E34" s="6">
        <v>5</v>
      </c>
      <c r="F34" s="29">
        <v>0</v>
      </c>
      <c r="G34" s="30">
        <v>86</v>
      </c>
      <c r="H34">
        <v>3383</v>
      </c>
      <c r="I34" s="24">
        <v>3386.5</v>
      </c>
      <c r="J34" s="20">
        <v>3.5</v>
      </c>
      <c r="K34" s="25">
        <v>2.7906976744186047</v>
      </c>
      <c r="L34" s="26">
        <v>9.7674418604651159</v>
      </c>
      <c r="M34" s="28">
        <v>9767.4418604651164</v>
      </c>
      <c r="N34" s="32">
        <v>107790.6976744186</v>
      </c>
      <c r="O34" s="32">
        <v>107790.6976744186</v>
      </c>
      <c r="P34" s="6"/>
      <c r="Q34"/>
    </row>
    <row r="35" spans="1:17" x14ac:dyDescent="0.25">
      <c r="A35" s="20" t="s">
        <v>44</v>
      </c>
      <c r="B35" s="27">
        <v>1395.3488372093025</v>
      </c>
      <c r="C35" t="s">
        <v>60</v>
      </c>
      <c r="D35" s="28">
        <v>1395.3488372093025</v>
      </c>
      <c r="E35" s="6">
        <v>4</v>
      </c>
      <c r="F35" s="29">
        <v>0</v>
      </c>
      <c r="G35" s="30">
        <v>86</v>
      </c>
      <c r="H35">
        <v>3386.5</v>
      </c>
      <c r="I35" s="24">
        <v>3387</v>
      </c>
      <c r="J35" s="20">
        <v>0.5</v>
      </c>
      <c r="K35" s="25">
        <v>2.7906976744186047</v>
      </c>
      <c r="L35" s="26">
        <v>1.3953488372093024</v>
      </c>
      <c r="M35" s="28">
        <v>1395.3488372093025</v>
      </c>
      <c r="N35" s="32">
        <v>123837.20930232556</v>
      </c>
      <c r="O35" s="32">
        <v>123837.20930232556</v>
      </c>
      <c r="P35" s="6"/>
      <c r="Q35"/>
    </row>
    <row r="36" spans="1:17" x14ac:dyDescent="0.25">
      <c r="A36" s="20" t="s">
        <v>61</v>
      </c>
      <c r="B36" s="27">
        <v>5581.3953488372099</v>
      </c>
      <c r="C36" t="s">
        <v>35</v>
      </c>
      <c r="D36" s="28">
        <v>5581.3953488372099</v>
      </c>
      <c r="E36" s="6">
        <v>4</v>
      </c>
      <c r="F36" s="29">
        <v>0</v>
      </c>
      <c r="G36" s="30">
        <v>86</v>
      </c>
      <c r="H36">
        <v>3387</v>
      </c>
      <c r="I36" s="24">
        <v>3389</v>
      </c>
      <c r="J36" s="20">
        <v>2</v>
      </c>
      <c r="K36" s="25">
        <v>2.7906976744186047</v>
      </c>
      <c r="L36" s="26">
        <v>5.5813953488372094</v>
      </c>
      <c r="M36" s="28">
        <v>5581.3953488372099</v>
      </c>
      <c r="N36" s="32">
        <v>113372.0930232558</v>
      </c>
      <c r="O36" s="32">
        <v>113372.0930232558</v>
      </c>
      <c r="P36" s="6"/>
      <c r="Q36"/>
    </row>
    <row r="37" spans="1:17" x14ac:dyDescent="0.25">
      <c r="A37" s="20" t="s">
        <v>47</v>
      </c>
      <c r="B37" s="27">
        <v>5581.3953488372099</v>
      </c>
      <c r="C37" t="s">
        <v>37</v>
      </c>
      <c r="D37" s="28">
        <v>5581.3953488372099</v>
      </c>
      <c r="E37" s="6">
        <v>5</v>
      </c>
      <c r="F37" s="29">
        <v>0</v>
      </c>
      <c r="G37" s="30">
        <v>86</v>
      </c>
      <c r="H37">
        <v>3389</v>
      </c>
      <c r="I37" s="24">
        <v>3391</v>
      </c>
      <c r="J37" s="20">
        <v>2</v>
      </c>
      <c r="K37" s="25">
        <v>2.7906976744186047</v>
      </c>
      <c r="L37" s="26">
        <v>5.5813953488372094</v>
      </c>
      <c r="M37" s="28">
        <v>5581.3953488372099</v>
      </c>
      <c r="N37" s="32">
        <v>129418.60465116276</v>
      </c>
      <c r="O37" s="32">
        <v>129418.60465116276</v>
      </c>
      <c r="P37" s="6"/>
      <c r="Q37"/>
    </row>
    <row r="38" spans="1:17" x14ac:dyDescent="0.25">
      <c r="A38" s="20" t="s">
        <v>62</v>
      </c>
      <c r="B38" s="27">
        <v>2790.6976744186049</v>
      </c>
      <c r="C38" t="s">
        <v>62</v>
      </c>
      <c r="D38" s="28">
        <v>2790.6976744186049</v>
      </c>
      <c r="E38" s="6">
        <v>1</v>
      </c>
      <c r="F38">
        <v>0</v>
      </c>
      <c r="G38" s="6">
        <v>86</v>
      </c>
      <c r="H38" s="6">
        <v>3391</v>
      </c>
      <c r="I38">
        <v>3392</v>
      </c>
      <c r="J38">
        <v>1</v>
      </c>
      <c r="K38">
        <v>2.7906976744186047</v>
      </c>
      <c r="L38">
        <v>2.7906976744186047</v>
      </c>
      <c r="M38">
        <v>2790.6976744186049</v>
      </c>
      <c r="N38">
        <v>116162.79069767441</v>
      </c>
      <c r="O38">
        <v>116162.79069767441</v>
      </c>
      <c r="P38" s="6"/>
      <c r="Q38"/>
    </row>
    <row r="39" spans="1:17" x14ac:dyDescent="0.25">
      <c r="A39" s="1" t="s">
        <v>63</v>
      </c>
      <c r="B39" s="1">
        <v>0</v>
      </c>
      <c r="C39" s="2" t="s">
        <v>8</v>
      </c>
      <c r="D39" s="1">
        <v>0</v>
      </c>
      <c r="E39" s="3">
        <v>0</v>
      </c>
      <c r="F39" s="3"/>
    </row>
    <row r="40" spans="1:17" x14ac:dyDescent="0.25">
      <c r="C40" s="2"/>
      <c r="E40" s="3"/>
      <c r="F40" s="3"/>
    </row>
    <row r="41" spans="1:17" x14ac:dyDescent="0.25">
      <c r="C41" s="2"/>
      <c r="E41" s="3"/>
      <c r="F41" s="3"/>
    </row>
    <row r="42" spans="1:17" x14ac:dyDescent="0.25">
      <c r="C42" s="2"/>
      <c r="E42" s="3"/>
      <c r="F42" s="3"/>
    </row>
    <row r="43" spans="1:17" x14ac:dyDescent="0.25">
      <c r="C43" s="2"/>
      <c r="E43" s="3"/>
      <c r="F43" s="3"/>
    </row>
    <row r="44" spans="1:17" x14ac:dyDescent="0.25">
      <c r="C44" s="2"/>
      <c r="E44" s="3"/>
      <c r="F44" s="3"/>
    </row>
    <row r="45" spans="1:17" x14ac:dyDescent="0.25">
      <c r="C45" s="2"/>
      <c r="E45" s="3"/>
      <c r="F45" s="3"/>
    </row>
    <row r="46" spans="1:17" x14ac:dyDescent="0.25">
      <c r="C46" s="2"/>
      <c r="E46" s="3"/>
      <c r="F46" s="3"/>
    </row>
    <row r="47" spans="1:17" x14ac:dyDescent="0.25">
      <c r="C47" s="2"/>
      <c r="E47" s="3"/>
      <c r="F47" s="3"/>
    </row>
    <row r="48" spans="1:17" x14ac:dyDescent="0.25">
      <c r="C48" s="2"/>
      <c r="E48" s="3"/>
      <c r="F48" s="3"/>
    </row>
    <row r="49" spans="3:6" x14ac:dyDescent="0.25">
      <c r="C49" s="2"/>
      <c r="E49" s="3"/>
      <c r="F49" s="3"/>
    </row>
    <row r="50" spans="3:6" x14ac:dyDescent="0.25">
      <c r="C50" s="2"/>
      <c r="E50" s="3"/>
      <c r="F50" s="3"/>
    </row>
    <row r="51" spans="3:6" x14ac:dyDescent="0.25">
      <c r="C51" s="2"/>
      <c r="E51" s="3"/>
      <c r="F51" s="3"/>
    </row>
    <row r="52" spans="3:6" x14ac:dyDescent="0.25">
      <c r="C52" s="2"/>
      <c r="E52" s="3"/>
      <c r="F52" s="3"/>
    </row>
    <row r="53" spans="3:6" x14ac:dyDescent="0.25">
      <c r="C53" s="2"/>
      <c r="E53" s="3"/>
      <c r="F53" s="3"/>
    </row>
    <row r="54" spans="3:6" x14ac:dyDescent="0.25">
      <c r="C54" s="2"/>
      <c r="E54" s="3"/>
      <c r="F54" s="3"/>
    </row>
    <row r="55" spans="3:6" x14ac:dyDescent="0.25">
      <c r="C55" s="2"/>
      <c r="E55" s="3"/>
      <c r="F55" s="3"/>
    </row>
    <row r="56" spans="3:6" x14ac:dyDescent="0.25">
      <c r="C56" s="2"/>
      <c r="E56" s="3"/>
      <c r="F56" s="3"/>
    </row>
    <row r="57" spans="3:6" x14ac:dyDescent="0.25">
      <c r="C57" s="2"/>
      <c r="E57" s="3"/>
      <c r="F57" s="3"/>
    </row>
    <row r="58" spans="3:6" x14ac:dyDescent="0.25">
      <c r="C58" s="2"/>
      <c r="E58" s="3"/>
      <c r="F58" s="3"/>
    </row>
    <row r="59" spans="3:6" x14ac:dyDescent="0.25">
      <c r="C59" s="2"/>
      <c r="E59" s="3"/>
      <c r="F59" s="3"/>
    </row>
    <row r="60" spans="3:6" x14ac:dyDescent="0.25">
      <c r="C60" s="2"/>
      <c r="E60" s="3"/>
      <c r="F60" s="3"/>
    </row>
    <row r="61" spans="3:6" x14ac:dyDescent="0.25">
      <c r="C61" s="2"/>
      <c r="E61" s="3"/>
      <c r="F61" s="3"/>
    </row>
    <row r="62" spans="3:6" x14ac:dyDescent="0.25">
      <c r="C62" s="2"/>
      <c r="E62" s="3"/>
      <c r="F62" s="3"/>
    </row>
    <row r="63" spans="3:6" x14ac:dyDescent="0.25">
      <c r="C63" s="2"/>
      <c r="E63" s="3"/>
      <c r="F63" s="3"/>
    </row>
    <row r="64" spans="3:6" x14ac:dyDescent="0.25">
      <c r="C64" s="2"/>
      <c r="E64" s="3"/>
      <c r="F64" s="3"/>
    </row>
    <row r="65" spans="3:6" x14ac:dyDescent="0.25">
      <c r="C65" s="2"/>
      <c r="E65" s="3"/>
      <c r="F65" s="3"/>
    </row>
    <row r="66" spans="3:6" x14ac:dyDescent="0.25">
      <c r="C66" s="2"/>
      <c r="E66" s="3"/>
      <c r="F66" s="3"/>
    </row>
    <row r="67" spans="3:6" x14ac:dyDescent="0.25">
      <c r="C67" s="2"/>
      <c r="E67" s="3"/>
      <c r="F67" s="3"/>
    </row>
    <row r="68" spans="3:6" x14ac:dyDescent="0.25">
      <c r="C68" s="2"/>
      <c r="E68" s="3"/>
      <c r="F68" s="3"/>
    </row>
    <row r="69" spans="3:6" x14ac:dyDescent="0.25">
      <c r="C69" s="2"/>
      <c r="E69" s="3"/>
      <c r="F69" s="3"/>
    </row>
    <row r="70" spans="3:6" x14ac:dyDescent="0.25">
      <c r="C70" s="2"/>
      <c r="E70" s="3"/>
      <c r="F70" s="3"/>
    </row>
    <row r="71" spans="3:6" x14ac:dyDescent="0.25">
      <c r="C71" s="2"/>
      <c r="E71" s="3"/>
      <c r="F71" s="3"/>
    </row>
    <row r="72" spans="3:6" x14ac:dyDescent="0.25">
      <c r="C72" s="2"/>
      <c r="E72" s="3"/>
      <c r="F72" s="3"/>
    </row>
    <row r="73" spans="3:6" x14ac:dyDescent="0.25">
      <c r="C73" s="2"/>
      <c r="E73" s="3"/>
      <c r="F73" s="3"/>
    </row>
    <row r="74" spans="3:6" x14ac:dyDescent="0.25">
      <c r="C74" s="2"/>
      <c r="E74" s="3"/>
      <c r="F74" s="3"/>
    </row>
    <row r="75" spans="3:6" x14ac:dyDescent="0.25">
      <c r="C75" s="2"/>
      <c r="E75" s="3"/>
      <c r="F75" s="3"/>
    </row>
    <row r="76" spans="3:6" x14ac:dyDescent="0.25">
      <c r="C76" s="2"/>
      <c r="E76" s="3"/>
      <c r="F76" s="3"/>
    </row>
    <row r="77" spans="3:6" x14ac:dyDescent="0.25">
      <c r="C77" s="2"/>
      <c r="E77" s="3"/>
      <c r="F77" s="3"/>
    </row>
    <row r="78" spans="3:6" x14ac:dyDescent="0.25">
      <c r="C78" s="2"/>
      <c r="E78" s="3"/>
      <c r="F78" s="3"/>
    </row>
    <row r="79" spans="3:6" x14ac:dyDescent="0.25">
      <c r="C79" s="2"/>
      <c r="E79" s="3"/>
      <c r="F79" s="3"/>
    </row>
    <row r="80" spans="3:6" x14ac:dyDescent="0.25">
      <c r="C80" s="2"/>
      <c r="E80" s="3"/>
      <c r="F80" s="3"/>
    </row>
    <row r="81" spans="3:6" x14ac:dyDescent="0.25">
      <c r="C81" s="2"/>
      <c r="E81" s="3"/>
      <c r="F81" s="3"/>
    </row>
    <row r="82" spans="3:6" x14ac:dyDescent="0.25">
      <c r="C82" s="2"/>
      <c r="E82" s="3"/>
      <c r="F82" s="3"/>
    </row>
    <row r="83" spans="3:6" x14ac:dyDescent="0.25">
      <c r="C83" s="2"/>
      <c r="E83" s="3"/>
      <c r="F83" s="3"/>
    </row>
    <row r="84" spans="3:6" x14ac:dyDescent="0.25">
      <c r="C84" s="2"/>
      <c r="E84" s="3"/>
      <c r="F84" s="3"/>
    </row>
    <row r="85" spans="3:6" x14ac:dyDescent="0.25">
      <c r="C85" s="2"/>
      <c r="E85" s="3"/>
      <c r="F85" s="3"/>
    </row>
    <row r="86" spans="3:6" x14ac:dyDescent="0.25">
      <c r="C86" s="2"/>
      <c r="E86" s="3"/>
      <c r="F86" s="3"/>
    </row>
    <row r="87" spans="3:6" x14ac:dyDescent="0.25">
      <c r="C87" s="2"/>
      <c r="E87" s="3"/>
      <c r="F87" s="3"/>
    </row>
    <row r="88" spans="3:6" x14ac:dyDescent="0.25">
      <c r="C88" s="2"/>
      <c r="E88" s="3"/>
      <c r="F88" s="3"/>
    </row>
    <row r="89" spans="3:6" x14ac:dyDescent="0.25">
      <c r="C89" s="2"/>
      <c r="E89" s="3"/>
      <c r="F8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="120" zoomScaleNormal="120" workbookViewId="0">
      <pane ySplit="5" topLeftCell="A15" activePane="bottomLeft" state="frozen"/>
      <selection pane="bottomLeft" activeCell="C36" sqref="C36"/>
    </sheetView>
  </sheetViews>
  <sheetFormatPr baseColWidth="10" defaultColWidth="8.85546875" defaultRowHeight="15" x14ac:dyDescent="0.25"/>
  <cols>
    <col min="1" max="1" width="8.5703125" style="35" bestFit="1" customWidth="1"/>
    <col min="2" max="2" width="25.5703125" style="1" customWidth="1"/>
    <col min="3" max="3" width="27.42578125" style="1" customWidth="1"/>
    <col min="4" max="5" width="13.85546875" style="35" customWidth="1"/>
    <col min="7" max="16384" width="8.85546875" style="1"/>
  </cols>
  <sheetData>
    <row r="1" spans="1:6" x14ac:dyDescent="0.25">
      <c r="B1" s="36" t="s">
        <v>33</v>
      </c>
      <c r="C1" s="36" t="s">
        <v>32</v>
      </c>
    </row>
    <row r="2" spans="1:6" x14ac:dyDescent="0.25">
      <c r="B2" s="36" t="s">
        <v>9</v>
      </c>
      <c r="C2" s="36">
        <v>31</v>
      </c>
      <c r="D2" s="40"/>
      <c r="E2" s="40"/>
    </row>
    <row r="3" spans="1:6" x14ac:dyDescent="0.25">
      <c r="B3" s="36" t="s">
        <v>0</v>
      </c>
      <c r="C3" s="36">
        <v>86</v>
      </c>
      <c r="F3" s="1"/>
    </row>
    <row r="4" spans="1:6" x14ac:dyDescent="0.25">
      <c r="A4" s="37"/>
      <c r="B4" s="36" t="s">
        <v>2</v>
      </c>
      <c r="C4" s="36">
        <v>0.375</v>
      </c>
    </row>
    <row r="5" spans="1:6" x14ac:dyDescent="0.25">
      <c r="A5" s="12" t="s">
        <v>24</v>
      </c>
      <c r="B5" s="13" t="s">
        <v>20</v>
      </c>
      <c r="C5" s="13" t="s">
        <v>4</v>
      </c>
      <c r="D5" s="12" t="s">
        <v>3</v>
      </c>
      <c r="E5" s="12" t="s">
        <v>68</v>
      </c>
    </row>
    <row r="6" spans="1:6" x14ac:dyDescent="0.25">
      <c r="A6" s="38">
        <v>0</v>
      </c>
      <c r="B6" t="s">
        <v>6</v>
      </c>
      <c r="C6" t="s">
        <v>7</v>
      </c>
      <c r="D6" s="6">
        <v>0</v>
      </c>
      <c r="E6" s="6">
        <f>$C$3</f>
        <v>86</v>
      </c>
      <c r="F6" t="s">
        <v>67</v>
      </c>
    </row>
    <row r="7" spans="1:6" x14ac:dyDescent="0.25">
      <c r="A7" s="39">
        <v>1</v>
      </c>
      <c r="B7" t="s">
        <v>64</v>
      </c>
      <c r="C7" t="s">
        <v>65</v>
      </c>
      <c r="D7" s="6">
        <v>1</v>
      </c>
      <c r="E7" s="6">
        <f t="shared" ref="E7:E36" si="0">$C$3</f>
        <v>86</v>
      </c>
    </row>
    <row r="8" spans="1:6" x14ac:dyDescent="0.25">
      <c r="A8" s="39">
        <v>5</v>
      </c>
      <c r="B8" t="s">
        <v>34</v>
      </c>
      <c r="C8" t="s">
        <v>35</v>
      </c>
      <c r="D8" s="6">
        <v>4</v>
      </c>
      <c r="E8" s="6">
        <f t="shared" si="0"/>
        <v>86</v>
      </c>
    </row>
    <row r="9" spans="1:6" x14ac:dyDescent="0.25">
      <c r="A9" s="39">
        <v>9</v>
      </c>
      <c r="B9" s="20" t="s">
        <v>36</v>
      </c>
      <c r="C9" t="s">
        <v>37</v>
      </c>
      <c r="D9" s="6">
        <v>5</v>
      </c>
      <c r="E9" s="6">
        <f t="shared" si="0"/>
        <v>86</v>
      </c>
    </row>
    <row r="10" spans="1:6" x14ac:dyDescent="0.25">
      <c r="A10" s="39">
        <v>13</v>
      </c>
      <c r="B10" s="20" t="s">
        <v>38</v>
      </c>
      <c r="C10" t="s">
        <v>39</v>
      </c>
      <c r="D10" s="6">
        <v>1</v>
      </c>
      <c r="E10" s="6">
        <f t="shared" si="0"/>
        <v>86</v>
      </c>
    </row>
    <row r="11" spans="1:6" x14ac:dyDescent="0.25">
      <c r="A11" s="39">
        <v>17</v>
      </c>
      <c r="B11" s="20" t="s">
        <v>40</v>
      </c>
      <c r="C11" t="s">
        <v>41</v>
      </c>
      <c r="D11" s="6">
        <v>2</v>
      </c>
      <c r="E11" s="6">
        <f t="shared" si="0"/>
        <v>86</v>
      </c>
    </row>
    <row r="12" spans="1:6" x14ac:dyDescent="0.25">
      <c r="A12" s="39">
        <v>21</v>
      </c>
      <c r="B12" s="20" t="s">
        <v>42</v>
      </c>
      <c r="C12" t="s">
        <v>43</v>
      </c>
      <c r="D12" s="6">
        <v>3</v>
      </c>
      <c r="E12" s="6">
        <f t="shared" si="0"/>
        <v>86</v>
      </c>
    </row>
    <row r="13" spans="1:6" x14ac:dyDescent="0.25">
      <c r="A13" s="39">
        <v>21.75</v>
      </c>
      <c r="B13" s="20" t="s">
        <v>44</v>
      </c>
      <c r="C13" t="s">
        <v>45</v>
      </c>
      <c r="D13" s="6">
        <v>5</v>
      </c>
      <c r="E13" s="6">
        <f t="shared" si="0"/>
        <v>86</v>
      </c>
    </row>
    <row r="14" spans="1:6" x14ac:dyDescent="0.25">
      <c r="A14" s="39">
        <v>22</v>
      </c>
      <c r="B14" s="20" t="s">
        <v>46</v>
      </c>
      <c r="C14" t="s">
        <v>35</v>
      </c>
      <c r="D14" s="6">
        <v>4</v>
      </c>
      <c r="E14" s="6">
        <f t="shared" si="0"/>
        <v>86</v>
      </c>
    </row>
    <row r="15" spans="1:6" x14ac:dyDescent="0.25">
      <c r="A15" s="39">
        <v>26</v>
      </c>
      <c r="B15" s="20" t="s">
        <v>47</v>
      </c>
      <c r="C15" t="s">
        <v>37</v>
      </c>
      <c r="D15" s="6">
        <v>5</v>
      </c>
      <c r="E15" s="6">
        <f t="shared" si="0"/>
        <v>86</v>
      </c>
    </row>
    <row r="16" spans="1:6" x14ac:dyDescent="0.25">
      <c r="A16" s="39">
        <v>30</v>
      </c>
      <c r="B16" s="20" t="s">
        <v>48</v>
      </c>
      <c r="C16" t="s">
        <v>49</v>
      </c>
      <c r="D16" s="6">
        <v>4</v>
      </c>
      <c r="E16" s="6">
        <f t="shared" si="0"/>
        <v>86</v>
      </c>
    </row>
    <row r="17" spans="1:5" x14ac:dyDescent="0.25">
      <c r="A17" s="39">
        <v>34</v>
      </c>
      <c r="B17" s="20" t="s">
        <v>50</v>
      </c>
      <c r="C17" t="s">
        <v>51</v>
      </c>
      <c r="D17" s="6">
        <v>4</v>
      </c>
      <c r="E17" s="6">
        <f t="shared" si="0"/>
        <v>86</v>
      </c>
    </row>
    <row r="18" spans="1:5" x14ac:dyDescent="0.25">
      <c r="A18" s="39">
        <v>38</v>
      </c>
      <c r="B18" s="20" t="s">
        <v>52</v>
      </c>
      <c r="C18" t="s">
        <v>53</v>
      </c>
      <c r="D18" s="6">
        <v>2</v>
      </c>
      <c r="E18" s="6">
        <f t="shared" si="0"/>
        <v>86</v>
      </c>
    </row>
    <row r="19" spans="1:5" x14ac:dyDescent="0.25">
      <c r="A19" s="39">
        <v>42</v>
      </c>
      <c r="B19" s="20" t="s">
        <v>54</v>
      </c>
      <c r="C19" t="s">
        <v>41</v>
      </c>
      <c r="D19" s="6">
        <v>3</v>
      </c>
      <c r="E19" s="6">
        <f t="shared" si="0"/>
        <v>86</v>
      </c>
    </row>
    <row r="20" spans="1:5" x14ac:dyDescent="0.25">
      <c r="A20" s="39">
        <v>44</v>
      </c>
      <c r="B20" s="20" t="s">
        <v>55</v>
      </c>
      <c r="C20" t="s">
        <v>43</v>
      </c>
      <c r="D20" s="6">
        <v>4</v>
      </c>
      <c r="E20" s="6">
        <f t="shared" si="0"/>
        <v>86</v>
      </c>
    </row>
    <row r="21" spans="1:5" x14ac:dyDescent="0.25">
      <c r="A21" s="39">
        <v>45.5</v>
      </c>
      <c r="B21" s="20" t="s">
        <v>44</v>
      </c>
      <c r="C21" t="s">
        <v>45</v>
      </c>
      <c r="D21" s="6">
        <v>5</v>
      </c>
      <c r="E21" s="6">
        <f t="shared" si="0"/>
        <v>86</v>
      </c>
    </row>
    <row r="22" spans="1:5" x14ac:dyDescent="0.25">
      <c r="A22" s="39">
        <v>46</v>
      </c>
      <c r="B22" s="20" t="s">
        <v>46</v>
      </c>
      <c r="C22" t="s">
        <v>35</v>
      </c>
      <c r="D22" s="6">
        <v>4</v>
      </c>
      <c r="E22" s="6">
        <f t="shared" si="0"/>
        <v>86</v>
      </c>
    </row>
    <row r="23" spans="1:5" x14ac:dyDescent="0.25">
      <c r="A23" s="39">
        <v>50</v>
      </c>
      <c r="B23" s="20" t="s">
        <v>47</v>
      </c>
      <c r="C23" t="s">
        <v>37</v>
      </c>
      <c r="D23" s="6">
        <v>5</v>
      </c>
      <c r="E23" s="6">
        <f t="shared" si="0"/>
        <v>86</v>
      </c>
    </row>
    <row r="24" spans="1:5" x14ac:dyDescent="0.25">
      <c r="A24" s="39">
        <v>54</v>
      </c>
      <c r="B24" s="20" t="s">
        <v>56</v>
      </c>
      <c r="C24" t="s">
        <v>39</v>
      </c>
      <c r="D24" s="6">
        <v>1</v>
      </c>
      <c r="E24" s="6">
        <f t="shared" si="0"/>
        <v>86</v>
      </c>
    </row>
    <row r="25" spans="1:5" x14ac:dyDescent="0.25">
      <c r="A25" s="39">
        <v>58</v>
      </c>
      <c r="B25" s="20" t="s">
        <v>57</v>
      </c>
      <c r="C25" t="s">
        <v>41</v>
      </c>
      <c r="D25" s="6">
        <v>2</v>
      </c>
      <c r="E25" s="6">
        <f t="shared" si="0"/>
        <v>86</v>
      </c>
    </row>
    <row r="26" spans="1:5" x14ac:dyDescent="0.25">
      <c r="A26" s="39">
        <v>60</v>
      </c>
      <c r="B26" s="20" t="s">
        <v>43</v>
      </c>
      <c r="C26" t="s">
        <v>43</v>
      </c>
      <c r="D26" s="6">
        <v>3</v>
      </c>
      <c r="E26" s="6">
        <f t="shared" si="0"/>
        <v>86</v>
      </c>
    </row>
    <row r="27" spans="1:5" x14ac:dyDescent="0.25">
      <c r="A27" s="39">
        <v>61.5</v>
      </c>
      <c r="B27" s="20" t="s">
        <v>44</v>
      </c>
      <c r="C27" t="s">
        <v>45</v>
      </c>
      <c r="D27" s="6">
        <v>5</v>
      </c>
      <c r="E27" s="6">
        <f t="shared" si="0"/>
        <v>86</v>
      </c>
    </row>
    <row r="28" spans="1:5" x14ac:dyDescent="0.25">
      <c r="A28" s="39">
        <v>62</v>
      </c>
      <c r="B28" s="20" t="s">
        <v>46</v>
      </c>
      <c r="C28" t="s">
        <v>35</v>
      </c>
      <c r="D28" s="6">
        <v>4</v>
      </c>
      <c r="E28" s="6">
        <f t="shared" si="0"/>
        <v>86</v>
      </c>
    </row>
    <row r="29" spans="1:5" x14ac:dyDescent="0.25">
      <c r="A29" s="39">
        <v>62.5</v>
      </c>
      <c r="B29" s="20" t="s">
        <v>58</v>
      </c>
      <c r="C29" t="s">
        <v>8</v>
      </c>
      <c r="D29" s="6">
        <v>0</v>
      </c>
      <c r="E29" s="6">
        <f t="shared" si="0"/>
        <v>86</v>
      </c>
    </row>
    <row r="30" spans="1:5" x14ac:dyDescent="0.25">
      <c r="A30" s="39">
        <v>63</v>
      </c>
      <c r="B30" s="20" t="s">
        <v>59</v>
      </c>
      <c r="C30" t="s">
        <v>35</v>
      </c>
      <c r="D30" s="6">
        <v>4</v>
      </c>
      <c r="E30" s="6">
        <f t="shared" si="0"/>
        <v>86</v>
      </c>
    </row>
    <row r="31" spans="1:5" x14ac:dyDescent="0.25">
      <c r="A31" s="39">
        <v>66</v>
      </c>
      <c r="B31" s="20" t="s">
        <v>47</v>
      </c>
      <c r="C31" t="s">
        <v>37</v>
      </c>
      <c r="D31" s="6">
        <v>5</v>
      </c>
      <c r="E31" s="6">
        <f t="shared" si="0"/>
        <v>86</v>
      </c>
    </row>
    <row r="32" spans="1:5" x14ac:dyDescent="0.25">
      <c r="A32" s="39">
        <v>69.5</v>
      </c>
      <c r="B32" s="20" t="s">
        <v>44</v>
      </c>
      <c r="C32" t="s">
        <v>60</v>
      </c>
      <c r="D32" s="6">
        <v>4</v>
      </c>
      <c r="E32" s="6">
        <f t="shared" si="0"/>
        <v>86</v>
      </c>
    </row>
    <row r="33" spans="1:5" x14ac:dyDescent="0.25">
      <c r="A33" s="39">
        <v>70</v>
      </c>
      <c r="B33" s="20" t="s">
        <v>61</v>
      </c>
      <c r="C33" t="s">
        <v>35</v>
      </c>
      <c r="D33" s="6">
        <v>4</v>
      </c>
      <c r="E33" s="6">
        <f t="shared" si="0"/>
        <v>86</v>
      </c>
    </row>
    <row r="34" spans="1:5" x14ac:dyDescent="0.25">
      <c r="A34" s="39">
        <v>72</v>
      </c>
      <c r="B34" s="20" t="s">
        <v>47</v>
      </c>
      <c r="C34" t="s">
        <v>37</v>
      </c>
      <c r="D34" s="6">
        <v>5</v>
      </c>
      <c r="E34" s="6">
        <f t="shared" si="0"/>
        <v>86</v>
      </c>
    </row>
    <row r="35" spans="1:5" x14ac:dyDescent="0.25">
      <c r="A35" s="39">
        <v>74</v>
      </c>
      <c r="B35" s="20" t="s">
        <v>62</v>
      </c>
      <c r="C35" t="s">
        <v>69</v>
      </c>
      <c r="D35" s="6">
        <v>1</v>
      </c>
      <c r="E35" s="6">
        <f t="shared" si="0"/>
        <v>86</v>
      </c>
    </row>
    <row r="36" spans="1:5" x14ac:dyDescent="0.25">
      <c r="A36" s="39">
        <v>75</v>
      </c>
      <c r="B36" s="1" t="s">
        <v>63</v>
      </c>
      <c r="C36" s="2" t="s">
        <v>66</v>
      </c>
      <c r="D36" s="41">
        <v>0</v>
      </c>
      <c r="E36" s="6">
        <f t="shared" si="0"/>
        <v>86</v>
      </c>
    </row>
    <row r="37" spans="1:5" x14ac:dyDescent="0.25">
      <c r="C37" s="2"/>
      <c r="D37" s="41"/>
      <c r="E37" s="41"/>
    </row>
    <row r="38" spans="1:5" x14ac:dyDescent="0.25">
      <c r="C38" s="2"/>
      <c r="D38" s="41"/>
      <c r="E38" s="41"/>
    </row>
    <row r="39" spans="1:5" x14ac:dyDescent="0.25">
      <c r="C39" s="2"/>
      <c r="D39" s="41"/>
      <c r="E39" s="41"/>
    </row>
    <row r="40" spans="1:5" x14ac:dyDescent="0.25">
      <c r="C40" s="2"/>
      <c r="D40" s="41"/>
      <c r="E40" s="41"/>
    </row>
    <row r="41" spans="1:5" x14ac:dyDescent="0.25">
      <c r="C41" s="2"/>
      <c r="D41" s="41"/>
      <c r="E41" s="41"/>
    </row>
    <row r="42" spans="1:5" x14ac:dyDescent="0.25">
      <c r="C42" s="2"/>
      <c r="D42" s="41"/>
      <c r="E42" s="41"/>
    </row>
    <row r="43" spans="1:5" x14ac:dyDescent="0.25">
      <c r="C43" s="2"/>
      <c r="D43" s="41"/>
      <c r="E43" s="41"/>
    </row>
    <row r="44" spans="1:5" x14ac:dyDescent="0.25">
      <c r="C44" s="2"/>
      <c r="D44" s="41"/>
      <c r="E44" s="41"/>
    </row>
    <row r="45" spans="1:5" x14ac:dyDescent="0.25">
      <c r="C45" s="2"/>
      <c r="D45" s="41"/>
      <c r="E45" s="41"/>
    </row>
    <row r="46" spans="1:5" x14ac:dyDescent="0.25">
      <c r="C46" s="2"/>
      <c r="D46" s="41"/>
      <c r="E46" s="41"/>
    </row>
    <row r="47" spans="1:5" x14ac:dyDescent="0.25">
      <c r="C47" s="2"/>
      <c r="D47" s="41"/>
      <c r="E47" s="41"/>
    </row>
    <row r="48" spans="1:5" x14ac:dyDescent="0.25">
      <c r="C48" s="2"/>
      <c r="D48" s="41"/>
      <c r="E48" s="41"/>
    </row>
    <row r="49" spans="3:5" x14ac:dyDescent="0.25">
      <c r="C49" s="2"/>
      <c r="D49" s="41"/>
      <c r="E49" s="41"/>
    </row>
    <row r="50" spans="3:5" x14ac:dyDescent="0.25">
      <c r="C50" s="2"/>
      <c r="D50" s="41"/>
      <c r="E50" s="41"/>
    </row>
    <row r="51" spans="3:5" x14ac:dyDescent="0.25">
      <c r="C51" s="2"/>
      <c r="D51" s="41"/>
      <c r="E51" s="41"/>
    </row>
    <row r="52" spans="3:5" x14ac:dyDescent="0.25">
      <c r="C52" s="2"/>
      <c r="D52" s="41"/>
      <c r="E52" s="41"/>
    </row>
    <row r="53" spans="3:5" x14ac:dyDescent="0.25">
      <c r="C53" s="2"/>
      <c r="D53" s="41"/>
      <c r="E53" s="41"/>
    </row>
    <row r="54" spans="3:5" x14ac:dyDescent="0.25">
      <c r="C54" s="2"/>
      <c r="D54" s="41"/>
      <c r="E54" s="41"/>
    </row>
    <row r="55" spans="3:5" x14ac:dyDescent="0.25">
      <c r="C55" s="2"/>
      <c r="D55" s="41"/>
      <c r="E55" s="41"/>
    </row>
    <row r="56" spans="3:5" x14ac:dyDescent="0.25">
      <c r="C56" s="2"/>
      <c r="D56" s="41"/>
      <c r="E56" s="41"/>
    </row>
    <row r="57" spans="3:5" x14ac:dyDescent="0.25">
      <c r="C57" s="2"/>
      <c r="D57" s="41"/>
      <c r="E57" s="41"/>
    </row>
    <row r="58" spans="3:5" x14ac:dyDescent="0.25">
      <c r="C58" s="2"/>
      <c r="D58" s="41"/>
      <c r="E58" s="41"/>
    </row>
    <row r="59" spans="3:5" x14ac:dyDescent="0.25">
      <c r="C59" s="2"/>
      <c r="D59" s="41"/>
      <c r="E59" s="41"/>
    </row>
    <row r="60" spans="3:5" x14ac:dyDescent="0.25">
      <c r="C60" s="2"/>
      <c r="D60" s="41"/>
      <c r="E60" s="41"/>
    </row>
    <row r="61" spans="3:5" x14ac:dyDescent="0.25">
      <c r="C61" s="2"/>
      <c r="D61" s="41"/>
      <c r="E61" s="41"/>
    </row>
    <row r="62" spans="3:5" x14ac:dyDescent="0.25">
      <c r="C62" s="2"/>
      <c r="D62" s="41"/>
      <c r="E62" s="41"/>
    </row>
    <row r="63" spans="3:5" x14ac:dyDescent="0.25">
      <c r="C63" s="2"/>
      <c r="D63" s="41"/>
      <c r="E63" s="41"/>
    </row>
    <row r="64" spans="3:5" x14ac:dyDescent="0.25">
      <c r="C64" s="2"/>
      <c r="D64" s="41"/>
      <c r="E64" s="41"/>
    </row>
    <row r="65" spans="3:5" x14ac:dyDescent="0.25">
      <c r="C65" s="2"/>
      <c r="D65" s="41"/>
      <c r="E65" s="41"/>
    </row>
    <row r="66" spans="3:5" x14ac:dyDescent="0.25">
      <c r="C66" s="2"/>
      <c r="D66" s="41"/>
      <c r="E66" s="41"/>
    </row>
    <row r="67" spans="3:5" x14ac:dyDescent="0.25">
      <c r="C67" s="2"/>
      <c r="D67" s="41"/>
      <c r="E67" s="41"/>
    </row>
    <row r="68" spans="3:5" x14ac:dyDescent="0.25">
      <c r="C68" s="2"/>
      <c r="D68" s="41"/>
      <c r="E68" s="41"/>
    </row>
    <row r="69" spans="3:5" x14ac:dyDescent="0.25">
      <c r="C69" s="2"/>
      <c r="D69" s="41"/>
      <c r="E69" s="41"/>
    </row>
    <row r="70" spans="3:5" x14ac:dyDescent="0.25">
      <c r="C70" s="2"/>
      <c r="D70" s="41"/>
      <c r="E70" s="41"/>
    </row>
    <row r="71" spans="3:5" x14ac:dyDescent="0.25">
      <c r="C71" s="2"/>
      <c r="D71" s="41"/>
      <c r="E71" s="41"/>
    </row>
    <row r="72" spans="3:5" x14ac:dyDescent="0.25">
      <c r="C72" s="2"/>
      <c r="D72" s="41"/>
      <c r="E72" s="41"/>
    </row>
    <row r="73" spans="3:5" x14ac:dyDescent="0.25">
      <c r="C73" s="2"/>
      <c r="D73" s="41"/>
      <c r="E73" s="41"/>
    </row>
    <row r="74" spans="3:5" x14ac:dyDescent="0.25">
      <c r="C74" s="2"/>
      <c r="D74" s="41"/>
      <c r="E74" s="41"/>
    </row>
    <row r="75" spans="3:5" x14ac:dyDescent="0.25">
      <c r="C75" s="2"/>
      <c r="D75" s="41"/>
      <c r="E75" s="41"/>
    </row>
    <row r="76" spans="3:5" x14ac:dyDescent="0.25">
      <c r="C76" s="2"/>
      <c r="D76" s="41"/>
      <c r="E76" s="41"/>
    </row>
    <row r="77" spans="3:5" x14ac:dyDescent="0.25">
      <c r="C77" s="2"/>
      <c r="D77" s="41"/>
      <c r="E77" s="41"/>
    </row>
    <row r="78" spans="3:5" x14ac:dyDescent="0.25">
      <c r="C78" s="2"/>
      <c r="D78" s="41"/>
      <c r="E78" s="41"/>
    </row>
    <row r="79" spans="3:5" x14ac:dyDescent="0.25">
      <c r="C79" s="2"/>
      <c r="D79" s="41"/>
      <c r="E79" s="41"/>
    </row>
    <row r="80" spans="3:5" x14ac:dyDescent="0.25">
      <c r="C80" s="2"/>
      <c r="D80" s="41"/>
      <c r="E80" s="41"/>
    </row>
    <row r="81" spans="3:5" x14ac:dyDescent="0.25">
      <c r="C81" s="2"/>
      <c r="D81" s="41"/>
      <c r="E81" s="41"/>
    </row>
    <row r="82" spans="3:5" x14ac:dyDescent="0.25">
      <c r="C82" s="2"/>
      <c r="D82" s="41"/>
      <c r="E82" s="41"/>
    </row>
    <row r="83" spans="3:5" x14ac:dyDescent="0.25">
      <c r="C83" s="2"/>
      <c r="D83" s="41"/>
      <c r="E83" s="41"/>
    </row>
    <row r="84" spans="3:5" x14ac:dyDescent="0.25">
      <c r="C84" s="2"/>
      <c r="D84" s="41"/>
      <c r="E84" s="41"/>
    </row>
    <row r="85" spans="3:5" x14ac:dyDescent="0.25">
      <c r="C85" s="2"/>
      <c r="D85" s="41"/>
      <c r="E85" s="41"/>
    </row>
    <row r="86" spans="3:5" x14ac:dyDescent="0.25">
      <c r="C86" s="2"/>
      <c r="D86" s="41"/>
      <c r="E86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Struktur (2)</vt:lpstr>
      <vt:lpstr>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2026-10-03T13:57:41Z</dcterms:created>
  <dcterms:modified xsi:type="dcterms:W3CDTF">2026-10-06T08:49:52Z</dcterms:modified>
</cp:coreProperties>
</file>